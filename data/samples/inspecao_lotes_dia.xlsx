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pecao_14_06_2026" sheetId="1" r:id="rId4"/>
    <sheet state="visible" name="Base_Referencia" sheetId="2" r:id="rId5"/>
    <sheet state="visible" name="Formulario_Analise" sheetId="3" r:id="rId6"/>
    <sheet state="visible" name="Matriz de Priorização" sheetId="4" r:id="rId7"/>
  </sheets>
  <definedNames/>
  <calcPr/>
  <extLst>
    <ext uri="GoogleSheetsCustomDataVersion2">
      <go:sheetsCustomData xmlns:go="http://customooxmlschemas.google.com/" r:id="rId8" roundtripDataChecksum="hlsVzOfn/eap7mUlT4b3td2uuAXAQNJc706t+wzVOu4="/>
    </ext>
  </extLst>
</workbook>
</file>

<file path=xl/sharedStrings.xml><?xml version="1.0" encoding="utf-8"?>
<sst xmlns="http://schemas.openxmlformats.org/spreadsheetml/2006/main" count="386" uniqueCount="172">
  <si>
    <t>PLANILHA DE INSPEÇÃO DE LOTES  ·  REFERÊNCIA: 14/06/2026  ·  LG Electronics — Qualidade</t>
  </si>
  <si>
    <t>Arquivo: inspecao_lotes_dia.xlsx  ·  Sistema: Coleta Automática  ·  Gerado às: 07:45:03  ·  Registros: 25</t>
  </si>
  <si>
    <t>lote_id</t>
  </si>
  <si>
    <t>produto</t>
  </si>
  <si>
    <t>linha</t>
  </si>
  <si>
    <t>turno</t>
  </si>
  <si>
    <t>status</t>
  </si>
  <si>
    <t>responsavel</t>
  </si>
  <si>
    <t>data</t>
  </si>
  <si>
    <t>observacao</t>
  </si>
  <si>
    <t>LG-2026-00101</t>
  </si>
  <si>
    <t>TV55-4K-B</t>
  </si>
  <si>
    <t>L1</t>
  </si>
  <si>
    <t>A</t>
  </si>
  <si>
    <t>APROVADO</t>
  </si>
  <si>
    <t>Carlos Menezes</t>
  </si>
  <si>
    <t>14/06/2026</t>
  </si>
  <si>
    <t>LG-2026-00102</t>
  </si>
  <si>
    <t>MON27-QHD</t>
  </si>
  <si>
    <t>L2</t>
  </si>
  <si>
    <t>B</t>
  </si>
  <si>
    <t>Ana Ferreira</t>
  </si>
  <si>
    <t>LG-2026-00103</t>
  </si>
  <si>
    <t>AC12-SPLIT</t>
  </si>
  <si>
    <t>L3</t>
  </si>
  <si>
    <t>Roberta Lima</t>
  </si>
  <si>
    <t>LG-2026-00104</t>
  </si>
  <si>
    <t>TV65-OLED</t>
  </si>
  <si>
    <t>C</t>
  </si>
  <si>
    <t>REPROVADO</t>
  </si>
  <si>
    <t>Marcos Souza</t>
  </si>
  <si>
    <t>Defeito na tela - pontos mortos</t>
  </si>
  <si>
    <t>LG-2026-00105</t>
  </si>
  <si>
    <t>MON24-FHD</t>
  </si>
  <si>
    <t>OK</t>
  </si>
  <si>
    <t>Juliana Neves</t>
  </si>
  <si>
    <t>LG-2026-00106</t>
  </si>
  <si>
    <t>TV43-FHD</t>
  </si>
  <si>
    <t>PENDENTE</t>
  </si>
  <si>
    <t>Rafael Souza</t>
  </si>
  <si>
    <t>Aguardando laudo técnico</t>
  </si>
  <si>
    <t>LG-2026-00107</t>
  </si>
  <si>
    <t>AC9-WINDOW</t>
  </si>
  <si>
    <t>NOK</t>
  </si>
  <si>
    <t>LG-2026-00108</t>
  </si>
  <si>
    <t>TV50-4K-B</t>
  </si>
  <si>
    <t>LG-2026-00109</t>
  </si>
  <si>
    <t>MON32-4K</t>
  </si>
  <si>
    <t>Falha no painel de controle</t>
  </si>
  <si>
    <t>LG-2026-00110</t>
  </si>
  <si>
    <t>LG-2026-00111</t>
  </si>
  <si>
    <t>AC18-SPLIT</t>
  </si>
  <si>
    <t>LG-2026-00112</t>
  </si>
  <si>
    <t>REPROV.</t>
  </si>
  <si>
    <t>LG-2026-00113</t>
  </si>
  <si>
    <t>LG-2026-00114</t>
  </si>
  <si>
    <t>Em análise pelo engenheiro</t>
  </si>
  <si>
    <t>LG-2026-00115</t>
  </si>
  <si>
    <t>15-06-2026</t>
  </si>
  <si>
    <t>LG-2026-00116</t>
  </si>
  <si>
    <t>Tela com riscos na superfície</t>
  </si>
  <si>
    <t>LG-2026-00117</t>
  </si>
  <si>
    <t>LG-2026-00118</t>
  </si>
  <si>
    <t>APROVADO PARCIAL</t>
  </si>
  <si>
    <t>Aprovado apenas uso interno</t>
  </si>
  <si>
    <t>LG-2026-00119</t>
  </si>
  <si>
    <t>LG-2026-00120</t>
  </si>
  <si>
    <t>LG-2026-00121</t>
  </si>
  <si>
    <t>LG-2026-00122</t>
  </si>
  <si>
    <t>LG-2026-00123</t>
  </si>
  <si>
    <t>LG-2026-00125</t>
  </si>
  <si>
    <t>Cabo de força com defeito</t>
  </si>
  <si>
    <t>Total de registros: 25</t>
  </si>
  <si>
    <t>Registros com divergência ou aviso: 9  ·  Aparentemente corretos: 16</t>
  </si>
  <si>
    <t>LEGENDA DE CORES (os alunos não sabem quais linhas têm erros)</t>
  </si>
  <si>
    <t>Exemplo</t>
  </si>
  <si>
    <t>Linha em dia par — aparentemente correta</t>
  </si>
  <si>
    <t>Linha em dia ímpar — aparentemente correta</t>
  </si>
  <si>
    <t>Status em formato não padrão — requer normalização ou validação</t>
  </si>
  <si>
    <t>Possível divergência identificada visualmente — requer análise</t>
  </si>
  <si>
    <t>BASE DE REFERÊNCIA DE LOTES  ·  LG Electronics  ·  Atualizada em: 13/06/2026  ·  Registros: 23</t>
  </si>
  <si>
    <t>codigo_produto</t>
  </si>
  <si>
    <t>descricao_produto</t>
  </si>
  <si>
    <t>status_cadastro</t>
  </si>
  <si>
    <t>Televisão 55" 4K Série B</t>
  </si>
  <si>
    <t>Ativo</t>
  </si>
  <si>
    <t>Monitor 27" QHD</t>
  </si>
  <si>
    <t>Televisão 65" OLED</t>
  </si>
  <si>
    <t>Monitor 24" Full HD</t>
  </si>
  <si>
    <t>Televisão 43" Full HD</t>
  </si>
  <si>
    <t>Ar-condicionado 9.000 BTU Janela</t>
  </si>
  <si>
    <t>Televisão 50" 4K Série B</t>
  </si>
  <si>
    <t>Monitor 32" 4K</t>
  </si>
  <si>
    <t>Ar-condicionado 18.000 BTU Split</t>
  </si>
  <si>
    <t>Ar-condicionado 12.000 BTU Split</t>
  </si>
  <si>
    <t>⚠️  NOTA AO REVISOR: O lote LG-2026-00103 NÃO está cadastrado nesta base (erro intencional — representa lote com código incorreto). Lotes não encontrados devem ser registrados como DIVERGÊNCIA.</t>
  </si>
  <si>
    <t>FORMULÁRIO DE ANÁLISE  ·  EQUIPE: Messyas  Gois França ·  DATA: 16/06/2026</t>
  </si>
  <si>
    <t>INSTRUÇÕES: Analise cada um dos 25 registros aplicando as regras RN01 a RN07. Para cada problema encontrado, preencha as colunas abaixo. Não consulte o gabarito antes de terminar.</t>
  </si>
  <si>
    <t>Linha</t>
  </si>
  <si>
    <t>Tipo de divergência encontrada</t>
  </si>
  <si>
    <t>Regra(s) violada(s)</t>
  </si>
  <si>
    <t>Ação recomendada</t>
  </si>
  <si>
    <t>Confirmado no gabarito?</t>
  </si>
  <si>
    <t>Lote nao cadastrado na base de referencia</t>
  </si>
  <si>
    <t>RN03</t>
  </si>
  <si>
    <t>Verificar cadastro do lote ou corrigir ID</t>
  </si>
  <si>
    <t>Status nao-canonico (OK) - dado fora do padrao esperado</t>
  </si>
  <si>
    <t>RN05</t>
  </si>
  <si>
    <t>Normalizar para APROVADO e registrar como divergencia de padronizacao</t>
  </si>
  <si>
    <t>Status nao-canonico (NOK) sem observacao preenchida</t>
  </si>
  <si>
    <t>RN05 / RN07</t>
  </si>
  <si>
    <t>Normalizar para REPROVADO e preencher a observacao justificando</t>
  </si>
  <si>
    <t>Ausencia de responsavel pela inspecao</t>
  </si>
  <si>
    <t>RN02</t>
  </si>
  <si>
    <t>Identificar e preencher o responsavel</t>
  </si>
  <si>
    <t>Status abreviado nao reconhecivel (REPROV.)  caso ambiguo</t>
  </si>
  <si>
    <t>RN06</t>
  </si>
  <si>
    <t>Revisar e corrigir para status canonico (REPROVADO ou PENDENTE)</t>
  </si>
  <si>
    <t>Data não bate com a data de emissao</t>
  </si>
  <si>
    <t>RN01</t>
  </si>
  <si>
    <t>Entender o motivo da data estar fora do padrao</t>
  </si>
  <si>
    <t>Status de inspecao invalido</t>
  </si>
  <si>
    <t>Realizar revisao para definir o status correto</t>
  </si>
  <si>
    <t>Lote reprovado sem observacao preenchida</t>
  </si>
  <si>
    <t>RN07</t>
  </si>
  <si>
    <t xml:space="preserve">Preencher a observacao justificando </t>
  </si>
  <si>
    <t>Vazio</t>
  </si>
  <si>
    <t>Campo obrigatorio vazio (id)</t>
  </si>
  <si>
    <t>Identificar e preencher o ID do lote</t>
  </si>
  <si>
    <t>RESUMO DA ANÁLISE</t>
  </si>
  <si>
    <t>Total de registros analisados:</t>
  </si>
  <si>
    <t>Registros válidos (sem divergência):</t>
  </si>
  <si>
    <t>Registros com ao menos uma divergência:</t>
  </si>
  <si>
    <t>Casos ambíguos (revisão humana):</t>
  </si>
  <si>
    <t>Normalizações aplicadas (OK/NOK):</t>
  </si>
  <si>
    <t>Total de divergências registradas:</t>
  </si>
  <si>
    <t>Taxa de divergência (%):</t>
  </si>
  <si>
    <t>Decisão da equipe (automatizar / não automatizar):</t>
  </si>
  <si>
    <t>Automatizar</t>
  </si>
  <si>
    <t>MATRIZ DE PRIORIZAÇÃO (modelo oficial do curso) - Processo: Inspeção de Lotes de Qualidade (14/06/2026)</t>
  </si>
  <si>
    <t>Notas de 1 a 5  ·  Pesos conforme base slide 'Caso 1: Pontuação e Cálculo Ponderado'  ·  Base: Formulario_Analise atualizado (taxa de divergência 36%)</t>
  </si>
  <si>
    <t>#</t>
  </si>
  <si>
    <t>Critério</t>
  </si>
  <si>
    <t>Peso (%)</t>
  </si>
  <si>
    <t>Nota (1-5)</t>
  </si>
  <si>
    <t>Pontuação Ponderada</t>
  </si>
  <si>
    <t>Justificativa (evidência da planilha)</t>
  </si>
  <si>
    <t>Impacto</t>
  </si>
  <si>
    <t>É controle de qualidade antes da liberação de TVs, monitores e ar-condicionados; uma falha pode liberar lote defeituoso ou reter lote bom: alto impacto direto no cliente e no retrabalho.</t>
  </si>
  <si>
    <t>Volume</t>
  </si>
  <si>
    <t>25 lotes inspecionados no dia, distribuídos em 3 linhas e 3 turnos: volume moderado, não maciço.</t>
  </si>
  <si>
    <t>Frequência</t>
  </si>
  <si>
    <t>Inspeção ocorre todos os dias, com arquivo gerado automaticamente todo dia às 07:45: alta repetitividade.</t>
  </si>
  <si>
    <t>Padronização</t>
  </si>
  <si>
    <t>Regras RN01-RN07 existem, mas a análise atualizada confirma ainda mais falhas de padronização: status em 5 formatos diferentes e 2 normalizações OK/NOK (LG-2026-00105, LG-2026-00107): taxa de divergência subiu de 28% para 36%.</t>
  </si>
  <si>
    <t>Clareza</t>
  </si>
  <si>
    <t>Regras formalizadas no papel (RN01-RN07), mas a análise revisada ainda registra ambiguidade na aplicação prática: apenas 1 caso é confirmado como verdadeiramente ambíguo (RN06: LG-2026-00118), porém a própria equipe rotulou 2 linhas com RN06 de formas inconsistentes, sinal de que o critério de 'status não reconhecível' ainda não está 100% claro.</t>
  </si>
  <si>
    <t>Estabilidade</t>
  </si>
  <si>
    <t>Fluxo de inspeção (3 linhas x 3 turnos, mesmos 8 campos) é fixo e não muda; não há indício de alteração recente no processo.</t>
  </si>
  <si>
    <t>Disponibilidade</t>
  </si>
  <si>
    <t>Análise atualizada aponta 8 dos 25 registros (32%) com algum problema de dado: responsável vazio (LG-2026-00109), lote_id vazio (linha 24), lote ausente da Base_Referencia (LG-2026-00103) e agora também data fora do padrão confirmada (LG-2026-00115, RN01).</t>
  </si>
  <si>
    <t>Risco</t>
  </si>
  <si>
    <t>Risco ainda não controlado: a taxa de divergência confirmada subiu para 36%; lotes reprovados sem observação (LG-2026-00107, LG-2026-00121) continuam podendo liberar produto defeituoso sem rastreabilidade.</t>
  </si>
  <si>
    <t>Esforço</t>
  </si>
  <si>
    <t>Esforço de implementação é baixo/moderado: as regras de validação já estão formalizadas (RN01-RN07) e os dados já chegam estruturados em planilha.</t>
  </si>
  <si>
    <t>% Automatizável</t>
  </si>
  <si>
    <t>Pela análise revisada, apenas 1 dos 25 registros (4%) é verdadeiramente ambíguo e exige decisão humana: os outros 96% seguem regras objetivas e automatizáveis.</t>
  </si>
  <si>
    <t>TOTAL</t>
  </si>
  <si>
    <t>Pontuação ponderada final (0 a 5)</t>
  </si>
  <si>
    <t>Classificação</t>
  </si>
  <si>
    <t>Escala: 4,0–5,0 Candidato Forte · 3,0–3,9 Candidato Moderado · 2,0–2,9 Candidato Fraco · &lt;2,0 Não Automatizar</t>
  </si>
  <si>
    <t>Critérios e pesos replicados do slide oficial 'Caso 1: Pontuação e Cálculo Ponderado'. As notas (coluna D) foram atribuídas com base na versão revisada do Formulario_Analise (16 válidos, 8 com divergência, 1 ambíguo, 9 divergências totais, taxa 36%). A equipe registrou a decisão 'Automatizar' nessa aba - a matriz aqui calculada (3,60) aponta para 'Candidato Moderado', ou seja: automatizar é defensável, mas com padronização do campo status e dos dados obrigatórios antes ou durante a implementação, não no formato atual.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</si>
</sst>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b/>
      <sz val="12.0"/>
      <color rgb="FFFFFFFF"/>
      <name val="Calibri"/>
    </font>
    <font/>
    <font>
      <sz val="11.0"/>
      <color theme="1"/>
      <name val="Calibri"/>
    </font>
    <font>
      <i/>
      <sz val="9.0"/>
      <color rgb="FF6C757D"/>
      <name val="Calibri"/>
    </font>
    <font>
      <b/>
      <sz val="11.0"/>
      <color rgb="FFFFFFFF"/>
      <name val="Calibri"/>
    </font>
    <font>
      <sz val="10.0"/>
      <color rgb="FF1B5E20"/>
      <name val="Calibri"/>
    </font>
    <font>
      <sz val="10.0"/>
      <color rgb="FF1B3A52"/>
      <name val="Calibri"/>
    </font>
    <font>
      <sz val="10.0"/>
      <color rgb="FFC00000"/>
      <name val="Calibri"/>
    </font>
    <font>
      <sz val="10.0"/>
      <color rgb="FF8B5000"/>
      <name val="Calibri"/>
    </font>
    <font>
      <b/>
      <sz val="10.0"/>
      <color rgb="FF8B5000"/>
      <name val="Calibri"/>
    </font>
    <font>
      <b/>
      <sz val="10.0"/>
      <color rgb="FFC00000"/>
      <name val="Calibri"/>
    </font>
    <font>
      <b/>
      <sz val="10.0"/>
      <color rgb="FFFFFFFF"/>
      <name val="Calibri"/>
    </font>
    <font>
      <b/>
      <sz val="9.0"/>
      <color rgb="FF1B5E20"/>
      <name val="Calibri"/>
    </font>
    <font>
      <sz val="9.0"/>
      <color rgb="FF1B3A52"/>
      <name val="Calibri"/>
    </font>
    <font>
      <b/>
      <sz val="9.0"/>
      <color rgb="FF1B3A52"/>
      <name val="Calibri"/>
    </font>
    <font>
      <b/>
      <sz val="9.0"/>
      <color rgb="FF8B5000"/>
      <name val="Calibri"/>
    </font>
    <font>
      <b/>
      <sz val="9.0"/>
      <color rgb="FFC00000"/>
      <name val="Calibri"/>
    </font>
    <font>
      <sz val="10.0"/>
      <color rgb="FF6C757D"/>
      <name val="Calibri"/>
    </font>
    <font>
      <b/>
      <sz val="10.0"/>
      <color rgb="FF1B3A52"/>
      <name val="Calibri"/>
    </font>
    <font>
      <u/>
      <sz val="11.0"/>
      <color theme="1"/>
      <name val="Calibri"/>
    </font>
    <font>
      <b/>
      <sz val="14.0"/>
      <color rgb="FFFFFFFF"/>
      <name val="Arial"/>
    </font>
    <font>
      <i/>
      <sz val="10.0"/>
      <color rgb="FFFFFFFF"/>
      <name val="Arial"/>
    </font>
    <font>
      <color theme="1"/>
      <name val="Calibri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b/>
      <sz val="12.0"/>
      <color rgb="FFC2185B"/>
      <name val="Arial"/>
    </font>
    <font>
      <i/>
      <sz val="9.0"/>
      <color rgb="FF595959"/>
      <name val="Arial"/>
    </font>
    <font>
      <i/>
      <sz val="9.0"/>
      <color rgb="FF80808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8F9FA"/>
        <bgColor rgb="FFF8F9FA"/>
      </patternFill>
    </fill>
    <fill>
      <patternFill patternType="solid">
        <fgColor rgb="FF0D1B2A"/>
        <bgColor rgb="FF0D1B2A"/>
      </patternFill>
    </fill>
    <fill>
      <patternFill patternType="solid">
        <fgColor rgb="FFEDFAF1"/>
        <bgColor rgb="FFEDFAF1"/>
      </patternFill>
    </fill>
    <fill>
      <patternFill patternType="solid">
        <fgColor rgb="FFFFF0F0"/>
        <bgColor rgb="FFFFF0F0"/>
      </patternFill>
    </fill>
    <fill>
      <patternFill patternType="solid">
        <fgColor rgb="FFFFF8E1"/>
        <bgColor rgb="FFFFF8E1"/>
      </patternFill>
    </fill>
    <fill>
      <patternFill patternType="solid">
        <fgColor rgb="FF1B3A52"/>
        <bgColor rgb="FF1B3A52"/>
      </patternFill>
    </fill>
    <fill>
      <patternFill patternType="solid">
        <fgColor rgb="FFFFFFFF"/>
        <bgColor rgb="FFFFFFFF"/>
      </patternFill>
    </fill>
    <fill>
      <patternFill patternType="solid">
        <fgColor rgb="FF147A6E"/>
        <bgColor rgb="FF147A6E"/>
      </patternFill>
    </fill>
    <fill>
      <patternFill patternType="solid">
        <fgColor rgb="FF4A235A"/>
        <bgColor rgb="FF4A235A"/>
      </patternFill>
    </fill>
    <fill>
      <patternFill patternType="solid">
        <fgColor rgb="FF1F2430"/>
        <bgColor rgb="FF1F2430"/>
      </patternFill>
    </fill>
    <fill>
      <patternFill patternType="solid">
        <fgColor rgb="FF2E3440"/>
        <bgColor rgb="FF2E3440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CE4EC"/>
        <bgColor rgb="FFFCE4EC"/>
      </patternFill>
    </fill>
  </fills>
  <borders count="8">
    <border/>
    <border>
      <left style="thin">
        <color rgb="FFCED4DA"/>
      </left>
      <top style="thin">
        <color rgb="FFCED4DA"/>
      </top>
      <bottom style="thin">
        <color rgb="FFCED4DA"/>
      </bottom>
    </border>
    <border>
      <top style="thin">
        <color rgb="FFCED4DA"/>
      </top>
      <bottom style="thin">
        <color rgb="FFCED4DA"/>
      </bottom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</border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center" vertical="center"/>
    </xf>
    <xf borderId="3" fillId="4" fontId="5" numFmtId="0" xfId="0" applyAlignment="1" applyBorder="1" applyFill="1" applyFont="1">
      <alignment horizontal="center" shrinkToFit="0" vertical="center" wrapText="1"/>
    </xf>
    <xf borderId="3" fillId="5" fontId="6" numFmtId="0" xfId="0" applyAlignment="1" applyBorder="1" applyFill="1" applyFont="1">
      <alignment horizontal="left" vertical="center"/>
    </xf>
    <xf borderId="3" fillId="3" fontId="7" numFmtId="0" xfId="0" applyAlignment="1" applyBorder="1" applyFont="1">
      <alignment horizontal="left" vertical="center"/>
    </xf>
    <xf borderId="3" fillId="6" fontId="8" numFmtId="0" xfId="0" applyAlignment="1" applyBorder="1" applyFill="1" applyFont="1">
      <alignment horizontal="left" vertical="center"/>
    </xf>
    <xf borderId="3" fillId="7" fontId="9" numFmtId="0" xfId="0" applyAlignment="1" applyBorder="1" applyFill="1" applyFont="1">
      <alignment horizontal="left" vertical="center"/>
    </xf>
    <xf borderId="3" fillId="7" fontId="10" numFmtId="0" xfId="0" applyAlignment="1" applyBorder="1" applyFont="1">
      <alignment horizontal="left" vertical="center"/>
    </xf>
    <xf borderId="3" fillId="6" fontId="11" numFmtId="0" xfId="0" applyAlignment="1" applyBorder="1" applyFont="1">
      <alignment horizontal="left" vertical="center"/>
    </xf>
    <xf borderId="1" fillId="4" fontId="12" numFmtId="0" xfId="0" applyAlignment="1" applyBorder="1" applyFont="1">
      <alignment horizontal="center" vertical="center"/>
    </xf>
    <xf borderId="1" fillId="8" fontId="12" numFmtId="0" xfId="0" applyAlignment="1" applyBorder="1" applyFill="1" applyFont="1">
      <alignment horizontal="center" vertical="center"/>
    </xf>
    <xf borderId="1" fillId="4" fontId="12" numFmtId="0" xfId="0" applyAlignment="1" applyBorder="1" applyFont="1">
      <alignment horizontal="center" vertical="bottom"/>
    </xf>
    <xf borderId="1" fillId="5" fontId="13" numFmtId="0" xfId="0" applyAlignment="1" applyBorder="1" applyFont="1">
      <alignment horizontal="center" vertical="bottom"/>
    </xf>
    <xf borderId="1" fillId="9" fontId="14" numFmtId="0" xfId="0" applyAlignment="1" applyBorder="1" applyFill="1" applyFont="1">
      <alignment horizontal="left" vertical="bottom"/>
    </xf>
    <xf borderId="1" fillId="3" fontId="15" numFmtId="0" xfId="0" applyAlignment="1" applyBorder="1" applyFont="1">
      <alignment horizontal="center" vertical="bottom"/>
    </xf>
    <xf borderId="1" fillId="7" fontId="16" numFmtId="0" xfId="0" applyAlignment="1" applyBorder="1" applyFont="1">
      <alignment horizontal="center" vertical="bottom"/>
    </xf>
    <xf borderId="1" fillId="6" fontId="17" numFmtId="0" xfId="0" applyAlignment="1" applyBorder="1" applyFont="1">
      <alignment horizontal="center" vertical="bottom"/>
    </xf>
    <xf borderId="1" fillId="10" fontId="1" numFmtId="0" xfId="0" applyAlignment="1" applyBorder="1" applyFill="1" applyFont="1">
      <alignment horizontal="center" vertical="center"/>
    </xf>
    <xf borderId="3" fillId="9" fontId="18" numFmtId="0" xfId="0" applyAlignment="1" applyBorder="1" applyFont="1">
      <alignment horizontal="left" vertical="center"/>
    </xf>
    <xf borderId="3" fillId="9" fontId="6" numFmtId="0" xfId="0" applyAlignment="1" applyBorder="1" applyFont="1">
      <alignment horizontal="left" vertical="center"/>
    </xf>
    <xf borderId="3" fillId="3" fontId="18" numFmtId="0" xfId="0" applyAlignment="1" applyBorder="1" applyFont="1">
      <alignment horizontal="left" vertical="center"/>
    </xf>
    <xf borderId="3" fillId="3" fontId="6" numFmtId="0" xfId="0" applyAlignment="1" applyBorder="1" applyFont="1">
      <alignment horizontal="left" vertical="center"/>
    </xf>
    <xf borderId="1" fillId="6" fontId="17" numFmtId="0" xfId="0" applyAlignment="1" applyBorder="1" applyFont="1">
      <alignment horizontal="left" shrinkToFit="0" vertical="bottom" wrapText="1"/>
    </xf>
    <xf borderId="1" fillId="11" fontId="1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left" shrinkToFit="0" vertical="bottom" wrapText="1"/>
    </xf>
    <xf borderId="3" fillId="3" fontId="18" numFmtId="0" xfId="0" applyAlignment="1" applyBorder="1" applyFont="1">
      <alignment horizontal="center" vertical="bottom"/>
    </xf>
    <xf borderId="3" fillId="9" fontId="18" numFmtId="0" xfId="0" applyAlignment="1" applyBorder="1" applyFont="1">
      <alignment horizontal="center" vertical="bottom"/>
    </xf>
    <xf borderId="3" fillId="9" fontId="7" numFmtId="0" xfId="0" applyAlignment="1" applyBorder="1" applyFont="1">
      <alignment horizontal="left" vertical="center"/>
    </xf>
    <xf borderId="3" fillId="4" fontId="7" numFmtId="0" xfId="0" applyAlignment="1" applyBorder="1" applyFont="1">
      <alignment horizontal="left" vertical="center"/>
    </xf>
    <xf borderId="1" fillId="3" fontId="19" numFmtId="0" xfId="0" applyAlignment="1" applyBorder="1" applyFont="1">
      <alignment horizontal="left" vertical="center"/>
    </xf>
    <xf borderId="1" fillId="9" fontId="7" numFmtId="0" xfId="0" applyAlignment="1" applyBorder="1" applyFont="1">
      <alignment horizontal="left" vertical="center"/>
    </xf>
    <xf borderId="1" fillId="9" fontId="7" numFmtId="0" xfId="0" applyAlignment="1" applyBorder="1" applyFont="1">
      <alignment horizontal="left" readingOrder="0" vertical="center"/>
    </xf>
    <xf borderId="1" fillId="9" fontId="7" numFmtId="9" xfId="0" applyAlignment="1" applyBorder="1" applyFont="1" applyNumberFormat="1">
      <alignment horizontal="left" vertical="center"/>
    </xf>
    <xf borderId="0" fillId="0" fontId="20" numFmtId="0" xfId="0" applyAlignment="1" applyFont="1">
      <alignment vertical="bottom"/>
    </xf>
    <xf borderId="4" fillId="12" fontId="21" numFmtId="0" xfId="0" applyAlignment="1" applyBorder="1" applyFill="1" applyFont="1">
      <alignment horizontal="left" vertical="center"/>
    </xf>
    <xf borderId="5" fillId="0" fontId="2" numFmtId="0" xfId="0" applyBorder="1" applyFont="1"/>
    <xf borderId="4" fillId="12" fontId="22" numFmtId="0" xfId="0" applyAlignment="1" applyBorder="1" applyFont="1">
      <alignment horizontal="left" vertical="center"/>
    </xf>
    <xf borderId="0" fillId="0" fontId="23" numFmtId="0" xfId="0" applyAlignment="1" applyFont="1">
      <alignment horizontal="center" vertical="center"/>
    </xf>
    <xf borderId="6" fillId="13" fontId="24" numFmtId="0" xfId="0" applyAlignment="1" applyBorder="1" applyFill="1" applyFont="1">
      <alignment horizontal="center" shrinkToFit="0" vertical="center" wrapText="1"/>
    </xf>
    <xf borderId="6" fillId="14" fontId="25" numFmtId="0" xfId="0" applyAlignment="1" applyBorder="1" applyFill="1" applyFont="1">
      <alignment horizontal="center" vertical="center"/>
    </xf>
    <xf borderId="6" fillId="14" fontId="25" numFmtId="0" xfId="0" applyAlignment="1" applyBorder="1" applyFont="1">
      <alignment horizontal="center" shrinkToFit="0" vertical="center" wrapText="1"/>
    </xf>
    <xf borderId="6" fillId="14" fontId="25" numFmtId="9" xfId="0" applyAlignment="1" applyBorder="1" applyFont="1" applyNumberFormat="1">
      <alignment horizontal="center" vertical="center"/>
    </xf>
    <xf borderId="6" fillId="14" fontId="25" numFmtId="2" xfId="0" applyAlignment="1" applyBorder="1" applyFont="1" applyNumberFormat="1">
      <alignment horizontal="center" vertical="center"/>
    </xf>
    <xf borderId="6" fillId="14" fontId="25" numFmtId="0" xfId="0" applyAlignment="1" applyBorder="1" applyFont="1">
      <alignment horizontal="left" shrinkToFit="0" vertical="top" wrapText="1"/>
    </xf>
    <xf borderId="0" fillId="0" fontId="23" numFmtId="0" xfId="0" applyAlignment="1" applyFont="1">
      <alignment vertical="center"/>
    </xf>
    <xf borderId="6" fillId="9" fontId="25" numFmtId="0" xfId="0" applyAlignment="1" applyBorder="1" applyFont="1">
      <alignment horizontal="center" vertical="center"/>
    </xf>
    <xf borderId="6" fillId="9" fontId="25" numFmtId="0" xfId="0" applyAlignment="1" applyBorder="1" applyFont="1">
      <alignment horizontal="center" shrinkToFit="0" vertical="center" wrapText="1"/>
    </xf>
    <xf borderId="6" fillId="9" fontId="25" numFmtId="9" xfId="0" applyAlignment="1" applyBorder="1" applyFont="1" applyNumberFormat="1">
      <alignment horizontal="center" vertical="center"/>
    </xf>
    <xf borderId="6" fillId="9" fontId="25" numFmtId="2" xfId="0" applyAlignment="1" applyBorder="1" applyFont="1" applyNumberFormat="1">
      <alignment horizontal="center" vertical="center"/>
    </xf>
    <xf borderId="6" fillId="9" fontId="25" numFmtId="0" xfId="0" applyAlignment="1" applyBorder="1" applyFont="1">
      <alignment horizontal="left" shrinkToFit="0" vertical="top" wrapText="1"/>
    </xf>
    <xf borderId="6" fillId="15" fontId="26" numFmtId="0" xfId="0" applyAlignment="1" applyBorder="1" applyFill="1" applyFont="1">
      <alignment horizontal="center" vertical="center"/>
    </xf>
    <xf borderId="6" fillId="15" fontId="26" numFmtId="9" xfId="0" applyAlignment="1" applyBorder="1" applyFont="1" applyNumberFormat="1">
      <alignment horizontal="center" vertical="center"/>
    </xf>
    <xf borderId="6" fillId="15" fontId="26" numFmtId="2" xfId="0" applyAlignment="1" applyBorder="1" applyFont="1" applyNumberFormat="1">
      <alignment horizontal="center" vertical="center"/>
    </xf>
    <xf borderId="0" fillId="0" fontId="26" numFmtId="0" xfId="0" applyAlignment="1" applyFont="1">
      <alignment horizontal="left" vertical="center"/>
    </xf>
    <xf borderId="7" fillId="16" fontId="27" numFmtId="2" xfId="0" applyAlignment="1" applyBorder="1" applyFill="1" applyFont="1" applyNumberFormat="1">
      <alignment horizontal="center" vertical="center"/>
    </xf>
    <xf borderId="0" fillId="0" fontId="26" numFmtId="0" xfId="0" applyAlignment="1" applyFont="1">
      <alignment vertical="bottom"/>
    </xf>
    <xf borderId="4" fillId="16" fontId="28" numFmtId="0" xfId="0" applyAlignment="1" applyBorder="1" applyFont="1">
      <alignment horizontal="left" vertical="center"/>
    </xf>
    <xf borderId="0" fillId="0" fontId="29" numFmtId="0" xfId="0" applyAlignment="1" applyFont="1">
      <alignment vertical="bottom"/>
    </xf>
    <xf borderId="0" fillId="0" fontId="30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4" width="8.0"/>
    <col customWidth="1" min="5" max="6" width="22.0"/>
    <col customWidth="1" min="7" max="7" width="14.0"/>
    <col customWidth="1" min="8" max="8" width="42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7" t="s">
        <v>17</v>
      </c>
      <c r="B5" s="7" t="s">
        <v>18</v>
      </c>
      <c r="C5" s="7" t="s">
        <v>19</v>
      </c>
      <c r="D5" s="7" t="s">
        <v>20</v>
      </c>
      <c r="E5" s="7" t="s">
        <v>14</v>
      </c>
      <c r="F5" s="7" t="s">
        <v>21</v>
      </c>
      <c r="G5" s="7" t="s">
        <v>16</v>
      </c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8" t="s">
        <v>22</v>
      </c>
      <c r="B6" s="8" t="s">
        <v>23</v>
      </c>
      <c r="C6" s="8" t="s">
        <v>24</v>
      </c>
      <c r="D6" s="8" t="s">
        <v>13</v>
      </c>
      <c r="E6" s="8" t="s">
        <v>14</v>
      </c>
      <c r="F6" s="8" t="s">
        <v>25</v>
      </c>
      <c r="G6" s="8" t="s">
        <v>16</v>
      </c>
      <c r="H6" s="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7" t="s">
        <v>26</v>
      </c>
      <c r="B7" s="7" t="s">
        <v>27</v>
      </c>
      <c r="C7" s="7" t="s">
        <v>12</v>
      </c>
      <c r="D7" s="7" t="s">
        <v>28</v>
      </c>
      <c r="E7" s="7" t="s">
        <v>29</v>
      </c>
      <c r="F7" s="7" t="s">
        <v>30</v>
      </c>
      <c r="G7" s="7" t="s">
        <v>16</v>
      </c>
      <c r="H7" s="7" t="s">
        <v>31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9" t="s">
        <v>32</v>
      </c>
      <c r="B8" s="9" t="s">
        <v>33</v>
      </c>
      <c r="C8" s="9" t="s">
        <v>19</v>
      </c>
      <c r="D8" s="9" t="s">
        <v>13</v>
      </c>
      <c r="E8" s="10" t="s">
        <v>34</v>
      </c>
      <c r="F8" s="9" t="s">
        <v>35</v>
      </c>
      <c r="G8" s="9" t="s">
        <v>16</v>
      </c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7" t="s">
        <v>36</v>
      </c>
      <c r="B9" s="7" t="s">
        <v>37</v>
      </c>
      <c r="C9" s="7" t="s">
        <v>24</v>
      </c>
      <c r="D9" s="7" t="s">
        <v>20</v>
      </c>
      <c r="E9" s="7" t="s">
        <v>38</v>
      </c>
      <c r="F9" s="7" t="s">
        <v>39</v>
      </c>
      <c r="G9" s="7" t="s">
        <v>16</v>
      </c>
      <c r="H9" s="7" t="s">
        <v>40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8" t="s">
        <v>41</v>
      </c>
      <c r="B10" s="8" t="s">
        <v>42</v>
      </c>
      <c r="C10" s="8" t="s">
        <v>12</v>
      </c>
      <c r="D10" s="8" t="s">
        <v>13</v>
      </c>
      <c r="E10" s="10" t="s">
        <v>43</v>
      </c>
      <c r="F10" s="8" t="s">
        <v>15</v>
      </c>
      <c r="G10" s="8" t="s">
        <v>16</v>
      </c>
      <c r="H10" s="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7" t="s">
        <v>44</v>
      </c>
      <c r="B11" s="7" t="s">
        <v>45</v>
      </c>
      <c r="C11" s="7" t="s">
        <v>19</v>
      </c>
      <c r="D11" s="7" t="s">
        <v>28</v>
      </c>
      <c r="E11" s="7" t="s">
        <v>14</v>
      </c>
      <c r="F11" s="7" t="s">
        <v>21</v>
      </c>
      <c r="G11" s="7" t="s">
        <v>16</v>
      </c>
      <c r="H11" s="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8" t="s">
        <v>46</v>
      </c>
      <c r="B12" s="8" t="s">
        <v>47</v>
      </c>
      <c r="C12" s="8" t="s">
        <v>24</v>
      </c>
      <c r="D12" s="8" t="s">
        <v>20</v>
      </c>
      <c r="E12" s="8" t="s">
        <v>29</v>
      </c>
      <c r="F12" s="11"/>
      <c r="G12" s="8" t="s">
        <v>16</v>
      </c>
      <c r="H12" s="8" t="s">
        <v>48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7" t="s">
        <v>49</v>
      </c>
      <c r="B13" s="7" t="s">
        <v>11</v>
      </c>
      <c r="C13" s="7" t="s">
        <v>12</v>
      </c>
      <c r="D13" s="7" t="s">
        <v>13</v>
      </c>
      <c r="E13" s="7" t="s">
        <v>14</v>
      </c>
      <c r="F13" s="7" t="s">
        <v>25</v>
      </c>
      <c r="G13" s="7" t="s">
        <v>16</v>
      </c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6" t="s">
        <v>50</v>
      </c>
      <c r="B14" s="6" t="s">
        <v>51</v>
      </c>
      <c r="C14" s="6" t="s">
        <v>19</v>
      </c>
      <c r="D14" s="6" t="s">
        <v>20</v>
      </c>
      <c r="E14" s="6" t="s">
        <v>14</v>
      </c>
      <c r="F14" s="6" t="s">
        <v>30</v>
      </c>
      <c r="G14" s="6" t="s">
        <v>16</v>
      </c>
      <c r="H14" s="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8" t="s">
        <v>52</v>
      </c>
      <c r="B15" s="8" t="s">
        <v>37</v>
      </c>
      <c r="C15" s="8" t="s">
        <v>24</v>
      </c>
      <c r="D15" s="8" t="s">
        <v>13</v>
      </c>
      <c r="E15" s="10" t="s">
        <v>53</v>
      </c>
      <c r="F15" s="8" t="s">
        <v>35</v>
      </c>
      <c r="G15" s="8" t="s">
        <v>16</v>
      </c>
      <c r="H15" s="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6" t="s">
        <v>54</v>
      </c>
      <c r="B16" s="6" t="s">
        <v>18</v>
      </c>
      <c r="C16" s="6" t="s">
        <v>12</v>
      </c>
      <c r="D16" s="6" t="s">
        <v>28</v>
      </c>
      <c r="E16" s="6" t="s">
        <v>14</v>
      </c>
      <c r="F16" s="6" t="s">
        <v>39</v>
      </c>
      <c r="G16" s="6" t="s">
        <v>16</v>
      </c>
      <c r="H16" s="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7" t="s">
        <v>55</v>
      </c>
      <c r="B17" s="7" t="s">
        <v>27</v>
      </c>
      <c r="C17" s="7" t="s">
        <v>19</v>
      </c>
      <c r="D17" s="7" t="s">
        <v>13</v>
      </c>
      <c r="E17" s="7" t="s">
        <v>38</v>
      </c>
      <c r="F17" s="7" t="s">
        <v>15</v>
      </c>
      <c r="G17" s="7" t="s">
        <v>16</v>
      </c>
      <c r="H17" s="7" t="s">
        <v>56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8" t="s">
        <v>57</v>
      </c>
      <c r="B18" s="8" t="s">
        <v>23</v>
      </c>
      <c r="C18" s="8" t="s">
        <v>24</v>
      </c>
      <c r="D18" s="8" t="s">
        <v>20</v>
      </c>
      <c r="E18" s="8" t="s">
        <v>14</v>
      </c>
      <c r="F18" s="8" t="s">
        <v>21</v>
      </c>
      <c r="G18" s="8" t="s">
        <v>58</v>
      </c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7" t="s">
        <v>59</v>
      </c>
      <c r="B19" s="7" t="s">
        <v>45</v>
      </c>
      <c r="C19" s="7" t="s">
        <v>12</v>
      </c>
      <c r="D19" s="7" t="s">
        <v>13</v>
      </c>
      <c r="E19" s="7" t="s">
        <v>29</v>
      </c>
      <c r="F19" s="7" t="s">
        <v>25</v>
      </c>
      <c r="G19" s="7" t="s">
        <v>16</v>
      </c>
      <c r="H19" s="7" t="s">
        <v>60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6" t="s">
        <v>61</v>
      </c>
      <c r="B20" s="6" t="s">
        <v>33</v>
      </c>
      <c r="C20" s="6" t="s">
        <v>19</v>
      </c>
      <c r="D20" s="6" t="s">
        <v>28</v>
      </c>
      <c r="E20" s="6" t="s">
        <v>14</v>
      </c>
      <c r="F20" s="6" t="s">
        <v>30</v>
      </c>
      <c r="G20" s="6" t="s">
        <v>16</v>
      </c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8" t="s">
        <v>62</v>
      </c>
      <c r="B21" s="8" t="s">
        <v>37</v>
      </c>
      <c r="C21" s="8" t="s">
        <v>24</v>
      </c>
      <c r="D21" s="8" t="s">
        <v>20</v>
      </c>
      <c r="E21" s="10" t="s">
        <v>63</v>
      </c>
      <c r="F21" s="8" t="s">
        <v>35</v>
      </c>
      <c r="G21" s="8" t="s">
        <v>16</v>
      </c>
      <c r="H21" s="8" t="s">
        <v>64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6" t="s">
        <v>65</v>
      </c>
      <c r="B22" s="6" t="s">
        <v>42</v>
      </c>
      <c r="C22" s="6" t="s">
        <v>12</v>
      </c>
      <c r="D22" s="6" t="s">
        <v>13</v>
      </c>
      <c r="E22" s="6" t="s">
        <v>14</v>
      </c>
      <c r="F22" s="6" t="s">
        <v>39</v>
      </c>
      <c r="G22" s="6" t="s">
        <v>16</v>
      </c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 t="s">
        <v>66</v>
      </c>
      <c r="B23" s="7" t="s">
        <v>11</v>
      </c>
      <c r="C23" s="7" t="s">
        <v>19</v>
      </c>
      <c r="D23" s="7" t="s">
        <v>20</v>
      </c>
      <c r="E23" s="7" t="s">
        <v>14</v>
      </c>
      <c r="F23" s="7" t="s">
        <v>15</v>
      </c>
      <c r="G23" s="7" t="s">
        <v>16</v>
      </c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8" t="s">
        <v>67</v>
      </c>
      <c r="B24" s="8" t="s">
        <v>47</v>
      </c>
      <c r="C24" s="8" t="s">
        <v>24</v>
      </c>
      <c r="D24" s="8" t="s">
        <v>28</v>
      </c>
      <c r="E24" s="8" t="s">
        <v>29</v>
      </c>
      <c r="F24" s="8" t="s">
        <v>21</v>
      </c>
      <c r="G24" s="8" t="s">
        <v>16</v>
      </c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7" t="s">
        <v>68</v>
      </c>
      <c r="B25" s="7" t="s">
        <v>27</v>
      </c>
      <c r="C25" s="7" t="s">
        <v>12</v>
      </c>
      <c r="D25" s="7" t="s">
        <v>13</v>
      </c>
      <c r="E25" s="7" t="s">
        <v>14</v>
      </c>
      <c r="F25" s="7" t="s">
        <v>25</v>
      </c>
      <c r="G25" s="7" t="s">
        <v>16</v>
      </c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" t="s">
        <v>69</v>
      </c>
      <c r="B26" s="6" t="s">
        <v>51</v>
      </c>
      <c r="C26" s="6" t="s">
        <v>19</v>
      </c>
      <c r="D26" s="6" t="s">
        <v>20</v>
      </c>
      <c r="E26" s="6" t="s">
        <v>38</v>
      </c>
      <c r="F26" s="6" t="s">
        <v>30</v>
      </c>
      <c r="G26" s="6" t="s">
        <v>16</v>
      </c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1"/>
      <c r="B27" s="8" t="s">
        <v>45</v>
      </c>
      <c r="C27" s="8" t="s">
        <v>24</v>
      </c>
      <c r="D27" s="8" t="s">
        <v>13</v>
      </c>
      <c r="E27" s="8" t="s">
        <v>14</v>
      </c>
      <c r="F27" s="8" t="s">
        <v>35</v>
      </c>
      <c r="G27" s="8" t="s">
        <v>16</v>
      </c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6" t="s">
        <v>70</v>
      </c>
      <c r="B28" s="6" t="s">
        <v>18</v>
      </c>
      <c r="C28" s="6" t="s">
        <v>12</v>
      </c>
      <c r="D28" s="6" t="s">
        <v>28</v>
      </c>
      <c r="E28" s="6" t="s">
        <v>29</v>
      </c>
      <c r="F28" s="6" t="s">
        <v>39</v>
      </c>
      <c r="G28" s="6" t="s">
        <v>16</v>
      </c>
      <c r="H28" s="6" t="s">
        <v>71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12" t="s">
        <v>72</v>
      </c>
      <c r="B29" s="2"/>
      <c r="C29" s="2"/>
      <c r="D29" s="2"/>
      <c r="E29" s="13" t="s">
        <v>73</v>
      </c>
      <c r="F29" s="2"/>
      <c r="G29" s="2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14" t="s">
        <v>74</v>
      </c>
      <c r="B31" s="2"/>
      <c r="C31" s="2"/>
      <c r="D31" s="2"/>
      <c r="E31" s="2"/>
      <c r="F31" s="2"/>
      <c r="G31" s="2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15" t="s">
        <v>75</v>
      </c>
      <c r="B32" s="2"/>
      <c r="C32" s="16" t="s">
        <v>76</v>
      </c>
      <c r="D32" s="2"/>
      <c r="E32" s="2"/>
      <c r="F32" s="2"/>
      <c r="G32" s="2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17" t="s">
        <v>75</v>
      </c>
      <c r="B33" s="2"/>
      <c r="C33" s="16" t="s">
        <v>77</v>
      </c>
      <c r="D33" s="2"/>
      <c r="E33" s="2"/>
      <c r="F33" s="2"/>
      <c r="G33" s="2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18" t="s">
        <v>75</v>
      </c>
      <c r="B34" s="2"/>
      <c r="C34" s="16" t="s">
        <v>78</v>
      </c>
      <c r="D34" s="2"/>
      <c r="E34" s="2"/>
      <c r="F34" s="2"/>
      <c r="G34" s="2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19" t="s">
        <v>75</v>
      </c>
      <c r="B35" s="2"/>
      <c r="C35" s="16" t="s">
        <v>79</v>
      </c>
      <c r="D35" s="2"/>
      <c r="E35" s="2"/>
      <c r="F35" s="2"/>
      <c r="G35" s="2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">
    <mergeCell ref="A33:B33"/>
    <mergeCell ref="C33:H33"/>
    <mergeCell ref="A34:B34"/>
    <mergeCell ref="C34:H34"/>
    <mergeCell ref="A35:B35"/>
    <mergeCell ref="C35:H35"/>
    <mergeCell ref="A1:H1"/>
    <mergeCell ref="A2:H2"/>
    <mergeCell ref="A29:D29"/>
    <mergeCell ref="E29:H29"/>
    <mergeCell ref="A31:H31"/>
    <mergeCell ref="A32:B32"/>
    <mergeCell ref="C32:H3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42.0"/>
    <col customWidth="1" min="4" max="4" width="16.0"/>
    <col customWidth="1" min="5" max="6" width="8.57"/>
  </cols>
  <sheetData>
    <row r="1" ht="25.5" customHeight="1">
      <c r="A1" s="20" t="s">
        <v>80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5" t="s">
        <v>2</v>
      </c>
      <c r="B2" s="5" t="s">
        <v>81</v>
      </c>
      <c r="C2" s="5" t="s">
        <v>82</v>
      </c>
      <c r="D2" s="5" t="s">
        <v>83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21" t="s">
        <v>10</v>
      </c>
      <c r="B3" s="21" t="s">
        <v>11</v>
      </c>
      <c r="C3" s="21" t="s">
        <v>84</v>
      </c>
      <c r="D3" s="22" t="s">
        <v>85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23" t="s">
        <v>17</v>
      </c>
      <c r="B4" s="23" t="s">
        <v>18</v>
      </c>
      <c r="C4" s="23" t="s">
        <v>86</v>
      </c>
      <c r="D4" s="24" t="s">
        <v>85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21" t="s">
        <v>26</v>
      </c>
      <c r="B5" s="21" t="s">
        <v>27</v>
      </c>
      <c r="C5" s="21" t="s">
        <v>87</v>
      </c>
      <c r="D5" s="22" t="s">
        <v>85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23" t="s">
        <v>32</v>
      </c>
      <c r="B6" s="23" t="s">
        <v>33</v>
      </c>
      <c r="C6" s="23" t="s">
        <v>88</v>
      </c>
      <c r="D6" s="24" t="s">
        <v>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21" t="s">
        <v>36</v>
      </c>
      <c r="B7" s="21" t="s">
        <v>37</v>
      </c>
      <c r="C7" s="21" t="s">
        <v>89</v>
      </c>
      <c r="D7" s="22" t="s">
        <v>85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3" t="s">
        <v>41</v>
      </c>
      <c r="B8" s="23" t="s">
        <v>42</v>
      </c>
      <c r="C8" s="23" t="s">
        <v>90</v>
      </c>
      <c r="D8" s="24" t="s">
        <v>85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1" t="s">
        <v>44</v>
      </c>
      <c r="B9" s="21" t="s">
        <v>45</v>
      </c>
      <c r="C9" s="21" t="s">
        <v>91</v>
      </c>
      <c r="D9" s="22" t="s">
        <v>85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23" t="s">
        <v>46</v>
      </c>
      <c r="B10" s="23" t="s">
        <v>47</v>
      </c>
      <c r="C10" s="23" t="s">
        <v>92</v>
      </c>
      <c r="D10" s="24" t="s">
        <v>85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21" t="s">
        <v>49</v>
      </c>
      <c r="B11" s="21" t="s">
        <v>11</v>
      </c>
      <c r="C11" s="21" t="s">
        <v>84</v>
      </c>
      <c r="D11" s="22" t="s">
        <v>85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23" t="s">
        <v>50</v>
      </c>
      <c r="B12" s="23" t="s">
        <v>51</v>
      </c>
      <c r="C12" s="23" t="s">
        <v>93</v>
      </c>
      <c r="D12" s="24" t="s">
        <v>85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1" t="s">
        <v>52</v>
      </c>
      <c r="B13" s="21" t="s">
        <v>37</v>
      </c>
      <c r="C13" s="21" t="s">
        <v>89</v>
      </c>
      <c r="D13" s="22" t="s">
        <v>85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3" t="s">
        <v>54</v>
      </c>
      <c r="B14" s="23" t="s">
        <v>18</v>
      </c>
      <c r="C14" s="23" t="s">
        <v>86</v>
      </c>
      <c r="D14" s="24" t="s">
        <v>85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1" t="s">
        <v>55</v>
      </c>
      <c r="B15" s="21" t="s">
        <v>27</v>
      </c>
      <c r="C15" s="21" t="s">
        <v>87</v>
      </c>
      <c r="D15" s="22" t="s">
        <v>85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23" t="s">
        <v>57</v>
      </c>
      <c r="B16" s="23" t="s">
        <v>23</v>
      </c>
      <c r="C16" s="23" t="s">
        <v>94</v>
      </c>
      <c r="D16" s="24" t="s">
        <v>85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21" t="s">
        <v>59</v>
      </c>
      <c r="B17" s="21" t="s">
        <v>45</v>
      </c>
      <c r="C17" s="21" t="s">
        <v>91</v>
      </c>
      <c r="D17" s="22" t="s">
        <v>85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3" t="s">
        <v>61</v>
      </c>
      <c r="B18" s="23" t="s">
        <v>33</v>
      </c>
      <c r="C18" s="23" t="s">
        <v>88</v>
      </c>
      <c r="D18" s="24" t="s">
        <v>85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21" t="s">
        <v>62</v>
      </c>
      <c r="B19" s="21" t="s">
        <v>37</v>
      </c>
      <c r="C19" s="21" t="s">
        <v>89</v>
      </c>
      <c r="D19" s="22" t="s">
        <v>85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3" t="s">
        <v>65</v>
      </c>
      <c r="B20" s="23" t="s">
        <v>42</v>
      </c>
      <c r="C20" s="23" t="s">
        <v>90</v>
      </c>
      <c r="D20" s="24" t="s">
        <v>85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1" t="s">
        <v>66</v>
      </c>
      <c r="B21" s="21" t="s">
        <v>11</v>
      </c>
      <c r="C21" s="21" t="s">
        <v>84</v>
      </c>
      <c r="D21" s="22" t="s">
        <v>85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3" t="s">
        <v>67</v>
      </c>
      <c r="B22" s="23" t="s">
        <v>47</v>
      </c>
      <c r="C22" s="23" t="s">
        <v>92</v>
      </c>
      <c r="D22" s="24" t="s">
        <v>85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1" t="s">
        <v>68</v>
      </c>
      <c r="B23" s="21" t="s">
        <v>27</v>
      </c>
      <c r="C23" s="21" t="s">
        <v>87</v>
      </c>
      <c r="D23" s="22" t="s">
        <v>85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3" t="s">
        <v>69</v>
      </c>
      <c r="B24" s="23" t="s">
        <v>51</v>
      </c>
      <c r="C24" s="23" t="s">
        <v>93</v>
      </c>
      <c r="D24" s="24" t="s">
        <v>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1" t="s">
        <v>70</v>
      </c>
      <c r="B25" s="21" t="s">
        <v>18</v>
      </c>
      <c r="C25" s="21" t="s">
        <v>86</v>
      </c>
      <c r="D25" s="22" t="s">
        <v>85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43.5" customHeight="1">
      <c r="A27" s="25" t="s">
        <v>95</v>
      </c>
      <c r="B27" s="2"/>
      <c r="C27" s="2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D1"/>
    <mergeCell ref="A27:D2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38.0"/>
    <col customWidth="1" min="4" max="4" width="18.0"/>
    <col customWidth="1" min="5" max="5" width="32.0"/>
    <col customWidth="1" min="6" max="6" width="29.29"/>
  </cols>
  <sheetData>
    <row r="1" ht="25.5" customHeight="1">
      <c r="A1" s="26" t="s">
        <v>96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1.5" customHeight="1">
      <c r="A2" s="27" t="s">
        <v>97</v>
      </c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2.25" customHeight="1">
      <c r="A3" s="5" t="s">
        <v>98</v>
      </c>
      <c r="B3" s="5" t="s">
        <v>2</v>
      </c>
      <c r="C3" s="5" t="s">
        <v>99</v>
      </c>
      <c r="D3" s="5" t="s">
        <v>100</v>
      </c>
      <c r="E3" s="5" t="s">
        <v>101</v>
      </c>
      <c r="F3" s="5" t="s">
        <v>102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28">
        <v>1.0</v>
      </c>
      <c r="B4" s="7"/>
      <c r="C4" s="7"/>
      <c r="D4" s="7"/>
      <c r="E4" s="7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29">
        <v>2.0</v>
      </c>
      <c r="B5" s="30"/>
      <c r="C5" s="30"/>
      <c r="D5" s="30"/>
      <c r="E5" s="30"/>
      <c r="F5" s="30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28">
        <v>3.0</v>
      </c>
      <c r="B6" s="7" t="s">
        <v>22</v>
      </c>
      <c r="C6" s="7" t="s">
        <v>103</v>
      </c>
      <c r="D6" s="7" t="s">
        <v>104</v>
      </c>
      <c r="E6" s="7" t="s">
        <v>105</v>
      </c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29">
        <v>4.0</v>
      </c>
      <c r="B7" s="30"/>
      <c r="C7" s="30"/>
      <c r="D7" s="30"/>
      <c r="E7" s="30"/>
      <c r="F7" s="3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28">
        <v>5.0</v>
      </c>
      <c r="B8" s="7" t="s">
        <v>32</v>
      </c>
      <c r="C8" s="7" t="s">
        <v>106</v>
      </c>
      <c r="D8" s="7" t="s">
        <v>107</v>
      </c>
      <c r="E8" s="7" t="s">
        <v>108</v>
      </c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29">
        <v>6.0</v>
      </c>
      <c r="B9" s="30"/>
      <c r="C9" s="30"/>
      <c r="D9" s="30"/>
      <c r="E9" s="30"/>
      <c r="F9" s="30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28">
        <v>7.0</v>
      </c>
      <c r="B10" s="7" t="s">
        <v>41</v>
      </c>
      <c r="C10" s="7" t="s">
        <v>109</v>
      </c>
      <c r="D10" s="7" t="s">
        <v>110</v>
      </c>
      <c r="E10" s="7" t="s">
        <v>111</v>
      </c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29">
        <v>8.0</v>
      </c>
      <c r="B11" s="30"/>
      <c r="C11" s="30"/>
      <c r="D11" s="30"/>
      <c r="E11" s="30"/>
      <c r="F11" s="30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28">
        <v>9.0</v>
      </c>
      <c r="B12" s="7" t="s">
        <v>46</v>
      </c>
      <c r="C12" s="7" t="s">
        <v>112</v>
      </c>
      <c r="D12" s="7" t="s">
        <v>113</v>
      </c>
      <c r="E12" s="7" t="s">
        <v>114</v>
      </c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29">
        <v>10.0</v>
      </c>
      <c r="B13" s="30"/>
      <c r="C13" s="30"/>
      <c r="D13" s="30"/>
      <c r="E13" s="30"/>
      <c r="F13" s="3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28">
        <v>11.0</v>
      </c>
      <c r="B14" s="7"/>
      <c r="C14" s="7"/>
      <c r="D14" s="7"/>
      <c r="E14" s="7"/>
      <c r="F14" s="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29">
        <v>12.0</v>
      </c>
      <c r="B15" s="30" t="s">
        <v>52</v>
      </c>
      <c r="C15" s="30" t="s">
        <v>115</v>
      </c>
      <c r="D15" s="30" t="s">
        <v>116</v>
      </c>
      <c r="E15" s="30" t="s">
        <v>117</v>
      </c>
      <c r="F15" s="3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28">
        <v>13.0</v>
      </c>
      <c r="B16" s="7"/>
      <c r="C16" s="7"/>
      <c r="D16" s="7"/>
      <c r="E16" s="7"/>
      <c r="F16" s="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29">
        <v>14.0</v>
      </c>
      <c r="B17" s="30"/>
      <c r="C17" s="30"/>
      <c r="D17" s="30"/>
      <c r="E17" s="30"/>
      <c r="F17" s="3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28">
        <v>15.0</v>
      </c>
      <c r="B18" s="7" t="s">
        <v>57</v>
      </c>
      <c r="C18" s="7" t="s">
        <v>118</v>
      </c>
      <c r="D18" s="7" t="s">
        <v>119</v>
      </c>
      <c r="E18" s="7" t="s">
        <v>120</v>
      </c>
      <c r="F18" s="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29">
        <v>16.0</v>
      </c>
      <c r="B19" s="30"/>
      <c r="C19" s="30"/>
      <c r="D19" s="30"/>
      <c r="E19" s="30"/>
      <c r="F19" s="3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28">
        <v>17.0</v>
      </c>
      <c r="B20" s="7"/>
      <c r="C20" s="7"/>
      <c r="D20" s="7"/>
      <c r="E20" s="7"/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29">
        <v>18.0</v>
      </c>
      <c r="B21" s="30" t="s">
        <v>62</v>
      </c>
      <c r="C21" s="30" t="s">
        <v>121</v>
      </c>
      <c r="D21" s="30" t="s">
        <v>116</v>
      </c>
      <c r="E21" s="30" t="s">
        <v>122</v>
      </c>
      <c r="F21" s="3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28">
        <v>19.0</v>
      </c>
      <c r="B22" s="7"/>
      <c r="C22" s="7"/>
      <c r="D22" s="7"/>
      <c r="E22" s="7"/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29">
        <v>20.0</v>
      </c>
      <c r="B23" s="30"/>
      <c r="C23" s="30"/>
      <c r="D23" s="30"/>
      <c r="E23" s="30"/>
      <c r="F23" s="3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28">
        <v>21.0</v>
      </c>
      <c r="B24" s="7" t="s">
        <v>67</v>
      </c>
      <c r="C24" s="7" t="s">
        <v>123</v>
      </c>
      <c r="D24" s="7" t="s">
        <v>124</v>
      </c>
      <c r="E24" s="7" t="s">
        <v>125</v>
      </c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29">
        <v>22.0</v>
      </c>
      <c r="B25" s="30"/>
      <c r="C25" s="30"/>
      <c r="D25" s="30"/>
      <c r="E25" s="30"/>
      <c r="F25" s="3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28">
        <v>23.0</v>
      </c>
      <c r="B26" s="7"/>
      <c r="C26" s="7"/>
      <c r="D26" s="7"/>
      <c r="E26" s="7"/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29">
        <v>24.0</v>
      </c>
      <c r="B27" s="30" t="s">
        <v>126</v>
      </c>
      <c r="C27" s="30" t="s">
        <v>127</v>
      </c>
      <c r="D27" s="30" t="s">
        <v>113</v>
      </c>
      <c r="E27" s="30" t="s">
        <v>128</v>
      </c>
      <c r="F27" s="3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28">
        <v>25.0</v>
      </c>
      <c r="B28" s="7"/>
      <c r="C28" s="7"/>
      <c r="D28" s="7"/>
      <c r="E28" s="7"/>
      <c r="F28" s="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14" t="s">
        <v>129</v>
      </c>
      <c r="B30" s="2"/>
      <c r="C30" s="31"/>
      <c r="D30" s="31"/>
      <c r="E30" s="31"/>
      <c r="F30" s="3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2" t="s">
        <v>130</v>
      </c>
      <c r="B31" s="2"/>
      <c r="C31" s="2"/>
      <c r="D31" s="33">
        <v>25.0</v>
      </c>
      <c r="E31" s="2"/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2" t="s">
        <v>131</v>
      </c>
      <c r="B32" s="2"/>
      <c r="C32" s="2"/>
      <c r="D32" s="33">
        <v>16.0</v>
      </c>
      <c r="E32" s="2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2" t="s">
        <v>132</v>
      </c>
      <c r="B33" s="2"/>
      <c r="C33" s="2"/>
      <c r="D33" s="33">
        <v>9.0</v>
      </c>
      <c r="E33" s="2"/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2" t="s">
        <v>133</v>
      </c>
      <c r="B34" s="2"/>
      <c r="C34" s="2"/>
      <c r="D34" s="34">
        <v>3.0</v>
      </c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2" t="s">
        <v>134</v>
      </c>
      <c r="B35" s="2"/>
      <c r="C35" s="2"/>
      <c r="D35" s="33">
        <v>2.0</v>
      </c>
      <c r="E35" s="2"/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2" t="s">
        <v>135</v>
      </c>
      <c r="B36" s="2"/>
      <c r="C36" s="2"/>
      <c r="D36" s="33">
        <v>9.0</v>
      </c>
      <c r="E36" s="2"/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2" t="s">
        <v>136</v>
      </c>
      <c r="B37" s="2"/>
      <c r="C37" s="2"/>
      <c r="D37" s="35">
        <v>0.36</v>
      </c>
      <c r="E37" s="2"/>
      <c r="F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2" t="s">
        <v>137</v>
      </c>
      <c r="B38" s="2"/>
      <c r="C38" s="2"/>
      <c r="D38" s="33" t="s">
        <v>138</v>
      </c>
      <c r="E38" s="2"/>
      <c r="F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9">
    <mergeCell ref="A1:F1"/>
    <mergeCell ref="A2:F2"/>
    <mergeCell ref="A30:B30"/>
    <mergeCell ref="A31:C31"/>
    <mergeCell ref="D31:F31"/>
    <mergeCell ref="A32:C32"/>
    <mergeCell ref="D32:F32"/>
    <mergeCell ref="A36:C36"/>
    <mergeCell ref="A37:C37"/>
    <mergeCell ref="A38:C38"/>
    <mergeCell ref="D37:F37"/>
    <mergeCell ref="D38:F38"/>
    <mergeCell ref="A33:C33"/>
    <mergeCell ref="D33:F33"/>
    <mergeCell ref="A34:C34"/>
    <mergeCell ref="D34:F34"/>
    <mergeCell ref="A35:C35"/>
    <mergeCell ref="D35:F35"/>
    <mergeCell ref="D36:F3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32.43"/>
    <col customWidth="1" min="3" max="4" width="11.0"/>
    <col customWidth="1" min="5" max="5" width="14.0"/>
    <col customWidth="1" min="6" max="6" width="70.0"/>
    <col customWidth="1" min="7" max="12" width="8.71"/>
  </cols>
  <sheetData>
    <row r="1" ht="21.75" customHeight="1">
      <c r="A1" s="37" t="s">
        <v>139</v>
      </c>
      <c r="B1" s="38"/>
      <c r="C1" s="38"/>
      <c r="D1" s="38"/>
      <c r="E1" s="38"/>
      <c r="F1" s="38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9" t="s">
        <v>140</v>
      </c>
      <c r="B2" s="38"/>
      <c r="C2" s="38"/>
      <c r="D2" s="38"/>
      <c r="E2" s="38"/>
      <c r="F2" s="38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40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0" customHeight="1">
      <c r="A4" s="41" t="s">
        <v>141</v>
      </c>
      <c r="B4" s="41" t="s">
        <v>142</v>
      </c>
      <c r="C4" s="41" t="s">
        <v>143</v>
      </c>
      <c r="D4" s="41" t="s">
        <v>144</v>
      </c>
      <c r="E4" s="41" t="s">
        <v>145</v>
      </c>
      <c r="F4" s="41" t="s">
        <v>146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9.75" customHeight="1">
      <c r="A5" s="42">
        <v>1.0</v>
      </c>
      <c r="B5" s="43" t="s">
        <v>147</v>
      </c>
      <c r="C5" s="44">
        <v>0.2</v>
      </c>
      <c r="D5" s="42">
        <v>5.0</v>
      </c>
      <c r="E5" s="45">
        <f t="shared" ref="E5:E14" si="1">C5*D5</f>
        <v>1</v>
      </c>
      <c r="F5" s="46" t="s">
        <v>148</v>
      </c>
      <c r="G5" s="3"/>
      <c r="H5" s="3"/>
      <c r="I5" s="3"/>
      <c r="J5" s="3"/>
      <c r="K5" s="3"/>
      <c r="L5" s="4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9.75" customHeight="1">
      <c r="A6" s="48">
        <v>2.0</v>
      </c>
      <c r="B6" s="49" t="s">
        <v>149</v>
      </c>
      <c r="C6" s="50">
        <v>0.1</v>
      </c>
      <c r="D6" s="48">
        <v>3.0</v>
      </c>
      <c r="E6" s="51">
        <f t="shared" si="1"/>
        <v>0.3</v>
      </c>
      <c r="F6" s="52" t="s">
        <v>150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9.75" customHeight="1">
      <c r="A7" s="42">
        <v>3.0</v>
      </c>
      <c r="B7" s="43" t="s">
        <v>151</v>
      </c>
      <c r="C7" s="44">
        <v>0.1</v>
      </c>
      <c r="D7" s="42">
        <v>5.0</v>
      </c>
      <c r="E7" s="45">
        <f t="shared" si="1"/>
        <v>0.5</v>
      </c>
      <c r="F7" s="46" t="s">
        <v>152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4.75" customHeight="1">
      <c r="A8" s="48">
        <v>4.0</v>
      </c>
      <c r="B8" s="49" t="s">
        <v>153</v>
      </c>
      <c r="C8" s="50">
        <v>0.1</v>
      </c>
      <c r="D8" s="48">
        <v>2.0</v>
      </c>
      <c r="E8" s="51">
        <f t="shared" si="1"/>
        <v>0.2</v>
      </c>
      <c r="F8" s="52" t="s">
        <v>154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76.5" customHeight="1">
      <c r="A9" s="42">
        <v>5.0</v>
      </c>
      <c r="B9" s="43" t="s">
        <v>155</v>
      </c>
      <c r="C9" s="44">
        <v>0.15</v>
      </c>
      <c r="D9" s="42">
        <v>3.0</v>
      </c>
      <c r="E9" s="45">
        <f t="shared" si="1"/>
        <v>0.45</v>
      </c>
      <c r="F9" s="46" t="s">
        <v>156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9.75" customHeight="1">
      <c r="A10" s="48">
        <v>6.0</v>
      </c>
      <c r="B10" s="49" t="s">
        <v>157</v>
      </c>
      <c r="C10" s="50">
        <v>0.1</v>
      </c>
      <c r="D10" s="48">
        <v>4.0</v>
      </c>
      <c r="E10" s="51">
        <f t="shared" si="1"/>
        <v>0.4</v>
      </c>
      <c r="F10" s="52" t="s">
        <v>158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63.75" customHeight="1">
      <c r="A11" s="42">
        <v>7.0</v>
      </c>
      <c r="B11" s="43" t="s">
        <v>159</v>
      </c>
      <c r="C11" s="44">
        <v>0.1</v>
      </c>
      <c r="D11" s="42">
        <v>2.0</v>
      </c>
      <c r="E11" s="45">
        <f t="shared" si="1"/>
        <v>0.2</v>
      </c>
      <c r="F11" s="46" t="s">
        <v>160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4.75" customHeight="1">
      <c r="A12" s="48">
        <v>8.0</v>
      </c>
      <c r="B12" s="49" t="s">
        <v>161</v>
      </c>
      <c r="C12" s="50">
        <v>0.05</v>
      </c>
      <c r="D12" s="48">
        <v>2.0</v>
      </c>
      <c r="E12" s="51">
        <f t="shared" si="1"/>
        <v>0.1</v>
      </c>
      <c r="F12" s="52" t="s">
        <v>162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3.5" customHeight="1">
      <c r="A13" s="42">
        <v>9.0</v>
      </c>
      <c r="B13" s="43" t="s">
        <v>163</v>
      </c>
      <c r="C13" s="44">
        <v>0.05</v>
      </c>
      <c r="D13" s="42">
        <v>4.0</v>
      </c>
      <c r="E13" s="45">
        <f t="shared" si="1"/>
        <v>0.2</v>
      </c>
      <c r="F13" s="46" t="s">
        <v>164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0" customHeight="1">
      <c r="A14" s="48">
        <v>10.0</v>
      </c>
      <c r="B14" s="49" t="s">
        <v>165</v>
      </c>
      <c r="C14" s="50">
        <v>0.05</v>
      </c>
      <c r="D14" s="48">
        <v>5.0</v>
      </c>
      <c r="E14" s="51">
        <f t="shared" si="1"/>
        <v>0.25</v>
      </c>
      <c r="F14" s="52" t="s">
        <v>166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53"/>
      <c r="B15" s="53" t="s">
        <v>167</v>
      </c>
      <c r="C15" s="54">
        <f>SUM(C5:C14)</f>
        <v>1</v>
      </c>
      <c r="D15" s="53"/>
      <c r="E15" s="55">
        <f>SUM(E5:E14)</f>
        <v>3.6</v>
      </c>
      <c r="F15" s="5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4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56" t="s">
        <v>168</v>
      </c>
      <c r="C17" s="57">
        <f>E15</f>
        <v>3.6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58" t="s">
        <v>169</v>
      </c>
      <c r="C18" s="59" t="str">
        <f>IF(C17&gt;=4,"CANDIDATO FORTE (automatizar agora)",IF(C17&gt;=3,"CANDIDATO MODERADO (padronizar antes de automatizar)",IF(C17&gt;=2,"CANDIDATO FRACO (investigar mais)","NÃO AUTOMATIZAR")))</f>
        <v>CANDIDATO MODERADO (padronizar antes de automatizar)</v>
      </c>
      <c r="D18" s="38"/>
      <c r="E18" s="38"/>
      <c r="F18" s="3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40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60" t="s">
        <v>170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4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61" t="s">
        <v>171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4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4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4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4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4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4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4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4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4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4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4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4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4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4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4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4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4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4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4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4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4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4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4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4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4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4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4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4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4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4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4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4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4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4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4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4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4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4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4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4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4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4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4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4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4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4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4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4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4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4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4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4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4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4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4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4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4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4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4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4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4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4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4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4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4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4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4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4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4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4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4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4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4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4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4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4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4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4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4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4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4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4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4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4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4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4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4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4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4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4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4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4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4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4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4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4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4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4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4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4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4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4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4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4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4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4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4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4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4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4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4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4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4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4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4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4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4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4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4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4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4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4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4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4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4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4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4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4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4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4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4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4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4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4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4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4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4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4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4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4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4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4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4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4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4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4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4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4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4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4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4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4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4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4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4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4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4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4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4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4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4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4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4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4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4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4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4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4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4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4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4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4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4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4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4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4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4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4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4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4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4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4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4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4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4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4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4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4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4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4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4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4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4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4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4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A1:F1"/>
    <mergeCell ref="A2:F2"/>
    <mergeCell ref="A17:B17"/>
    <mergeCell ref="A18:B18"/>
    <mergeCell ref="C18:F18"/>
    <mergeCell ref="A20:F20"/>
    <mergeCell ref="A22:F24"/>
  </mergeCells>
  <printOptions/>
  <pageMargins bottom="0.7875" footer="0.0" header="0.0" left="0.511805555555556" right="0.511805555555556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2026-06-30T00:13:30Z</dcterms:created>
  <dc:creator>openpyxl</dc:creator>
</cp:coreProperties>
</file>